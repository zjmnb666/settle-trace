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汇总" sheetId="1" state="visible" r:id="rId1"/>
    <sheet name="阶段明细" sheetId="2" state="visible" r:id="rId2"/>
    <sheet name="可选与条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237E"/>
      <sz val="16"/>
    </font>
    <font>
      <name val="微软雅黑"/>
      <color rgb="0061616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565C0"/>
      <sz val="10"/>
    </font>
    <font>
      <name val="微软雅黑"/>
      <b val="1"/>
      <sz val="10"/>
    </font>
    <font>
      <name val="微软雅黑"/>
      <b val="1"/>
      <color rgb="001A237E"/>
      <sz val="11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DF3FA"/>
      </patternFill>
    </fill>
    <fill>
      <patternFill patternType="solid">
        <fgColor rgb="001565C0"/>
      </patternFill>
    </fill>
    <fill>
      <patternFill patternType="solid">
        <fgColor rgb="00F5F7FA"/>
      </patternFill>
    </fill>
  </fills>
  <borders count="6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  <border>
      <left/>
      <right/>
      <top style="thin">
        <color rgb="00C9D3DF"/>
      </top>
      <bottom/>
      <diagonal/>
    </border>
    <border>
      <left/>
      <right style="thin">
        <color rgb="00C9D3DF"/>
      </right>
      <top style="thin">
        <color rgb="00C9D3DF"/>
      </top>
      <bottom/>
      <diagonal/>
    </border>
    <border>
      <left/>
      <right/>
      <top style="thin">
        <color rgb="00C9D3DF"/>
      </top>
      <bottom style="thin">
        <color rgb="00C9D3DF"/>
      </bottom>
      <diagonal/>
    </border>
    <border>
      <left/>
      <right style="thin">
        <color rgb="00C9D3DF"/>
      </right>
      <top style="thin">
        <color rgb="00C9D3DF"/>
      </top>
      <bottom style="thin">
        <color rgb="00C9D3D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0" fillId="3" borderId="1" pivotButton="0" quotePrefix="0" xfId="0"/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3" fontId="5" fillId="3" borderId="1" applyAlignment="1" pivotButton="0" quotePrefix="0" xfId="0">
      <alignment horizontal="right"/>
    </xf>
    <xf numFmtId="0" fontId="6" fillId="0" borderId="0" pivotButton="0" quotePrefix="0" xfId="0"/>
    <xf numFmtId="0" fontId="4" fillId="0" borderId="0" applyAlignment="1" pivotButton="0" quotePrefix="0" xfId="0">
      <alignment vertical="center" wrapText="1"/>
    </xf>
    <xf numFmtId="3" fontId="4" fillId="0" borderId="1" applyAlignment="1" pivotButton="0" quotePrefix="0" xfId="0">
      <alignment horizontal="right"/>
    </xf>
    <xf numFmtId="0" fontId="1" fillId="0" borderId="0" pivotButton="0" quotePrefix="0" xfId="0"/>
    <xf numFmtId="0" fontId="7" fillId="3" borderId="1" pivotButton="0" quotePrefix="0" xfId="0"/>
    <xf numFmtId="0" fontId="3" fillId="4" borderId="1" applyAlignment="1" pivotButton="0" quotePrefix="0" xfId="0">
      <alignment horizontal="center" vertical="center"/>
    </xf>
    <xf numFmtId="3" fontId="4" fillId="0" borderId="1" pivotButton="0" quotePrefix="0" xfId="0"/>
    <xf numFmtId="0" fontId="0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3" fontId="6" fillId="5" borderId="1" pivotButton="0" quotePrefix="0" xfId="0"/>
    <xf numFmtId="0" fontId="4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2" customWidth="1" min="4" max="4"/>
    <col width="16" customWidth="1" min="5" max="5"/>
    <col width="16" customWidth="1" min="6" max="6"/>
  </cols>
  <sheetData>
    <row r="1" ht="32" customHeight="1">
      <c r="A1" s="1" t="inlineStr">
        <is>
          <t>SettleTrace 贸易服务结算与费用追溯 · 报价单</t>
        </is>
      </c>
    </row>
    <row r="2" ht="20" customHeight="1">
      <c r="A2" s="2" t="inlineStr">
        <is>
          <t>方案编号 ST-SOL-2026-001　｜　版本 V1.0　｜　编制日期 2026-10-30　｜　有效期 60 日　｜　单价 2,400 元/人天（含 6% 增值税）</t>
        </is>
      </c>
    </row>
    <row r="3" ht="20" customHeight="1">
      <c r="A3" s="3" t="inlineStr">
        <is>
          <t>客户：上海外综服国际贸易有限公司　　　范围：代理费用结算单（试点 1 个批次 / 40 份账单）</t>
        </is>
      </c>
    </row>
    <row r="5" ht="24" customHeight="1">
      <c r="A5" s="4" t="inlineStr">
        <is>
          <t>序号</t>
        </is>
      </c>
      <c r="B5" s="4" t="inlineStr">
        <is>
          <t>阶段 / 内容</t>
        </is>
      </c>
      <c r="C5" s="4" t="inlineStr">
        <is>
          <t>人天</t>
        </is>
      </c>
      <c r="D5" s="4" t="inlineStr">
        <is>
          <t>单价（元）</t>
        </is>
      </c>
      <c r="E5" s="4" t="inlineStr">
        <is>
          <t>金额（元）</t>
        </is>
      </c>
      <c r="F5" s="4" t="inlineStr">
        <is>
          <t>付款节点</t>
        </is>
      </c>
    </row>
    <row r="6" ht="22" customHeight="1">
      <c r="A6" s="5" t="n">
        <v>1</v>
      </c>
      <c r="B6" s="6" t="inlineStr">
        <is>
          <t>阶段一 · 试点（4 周，40 份账单）</t>
        </is>
      </c>
      <c r="C6" s="7" t="n">
        <v>106</v>
      </c>
      <c r="D6" s="8" t="n">
        <v>2400</v>
      </c>
      <c r="E6" s="8">
        <f>C6*D6</f>
        <v/>
      </c>
      <c r="F6" s="7" t="inlineStr">
        <is>
          <t>签订 30% / 验收 30%</t>
        </is>
      </c>
    </row>
    <row r="7" ht="22" customHeight="1">
      <c r="A7" s="5" t="n">
        <v>2</v>
      </c>
      <c r="B7" s="6" t="inlineStr">
        <is>
          <t>阶段二 · 推广（8 周，全批次）</t>
        </is>
      </c>
      <c r="C7" s="7" t="n">
        <v>126</v>
      </c>
      <c r="D7" s="8" t="n">
        <v>2400</v>
      </c>
      <c r="E7" s="8">
        <f>C7*D7</f>
        <v/>
      </c>
      <c r="F7" s="7" t="inlineStr">
        <is>
          <t>上线 30%</t>
        </is>
      </c>
    </row>
    <row r="8" ht="22" customHeight="1">
      <c r="A8" s="5" t="n">
        <v>3</v>
      </c>
      <c r="B8" s="6" t="inlineStr">
        <is>
          <t>阶段三 · 平台化（12 周，可选）</t>
        </is>
      </c>
      <c r="C8" s="7" t="n">
        <v>104</v>
      </c>
      <c r="D8" s="8" t="n">
        <v>2400</v>
      </c>
      <c r="E8" s="8">
        <f>C8*D8</f>
        <v/>
      </c>
      <c r="F8" s="7" t="inlineStr">
        <is>
          <t>质保期满 10%</t>
        </is>
      </c>
    </row>
    <row r="9" ht="24" customHeight="1">
      <c r="A9" s="9" t="n"/>
      <c r="B9" s="10" t="inlineStr">
        <is>
          <t>合计（全范围）</t>
        </is>
      </c>
      <c r="C9" s="11">
        <f>SUM(C6:C8)</f>
        <v/>
      </c>
      <c r="D9" s="12" t="inlineStr">
        <is>
          <t>—</t>
        </is>
      </c>
      <c r="E9" s="13">
        <f>SUM(E6:E8)</f>
        <v/>
      </c>
      <c r="F9" s="9" t="n"/>
    </row>
    <row r="11">
      <c r="B11" s="14" t="inlineStr">
        <is>
          <t>推荐签约路径</t>
        </is>
      </c>
    </row>
    <row r="12" ht="34" customHeight="1">
      <c r="B12" s="15" t="inlineStr">
        <is>
          <t>先签阶段一（254,400 元）→ 试点验收通过后启动阶段二（302,400 元）；阶段三视推广效果决定。首次投入控制在 25 万级。</t>
        </is>
      </c>
    </row>
    <row r="14">
      <c r="B14" s="14" t="inlineStr">
        <is>
          <t>年度运维</t>
        </is>
      </c>
    </row>
    <row r="15">
      <c r="B15" s="6" t="inlineStr">
        <is>
          <t>基础运维（7×8 响应 / 月度巡检 / 季度复盘）</t>
        </is>
      </c>
      <c r="E15" s="16" t="n">
        <v>98000</v>
      </c>
    </row>
    <row r="16">
      <c r="B16" s="6" t="inlineStr">
        <is>
          <t>增强运维（含模型月度调优 / 指标看板维护）</t>
        </is>
      </c>
      <c r="E16" s="16" t="n">
        <v>168000</v>
      </c>
    </row>
  </sheetData>
  <mergeCells count="5">
    <mergeCell ref="A2:F2"/>
    <mergeCell ref="B12:F12"/>
    <mergeCell ref="A1:F1"/>
    <mergeCell ref="B11:F11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4" customWidth="1" min="4" max="4"/>
    <col width="16" customWidth="1" min="5" max="5"/>
  </cols>
  <sheetData>
    <row r="1" ht="30" customHeight="1">
      <c r="A1" s="17" t="inlineStr">
        <is>
          <t>人天明细（单价 2,400 元/人天，含税）</t>
        </is>
      </c>
    </row>
    <row r="3" ht="24" customHeight="1">
      <c r="A3" s="18" t="inlineStr">
        <is>
          <t>阶段一 · 试点（4 周，106 人天）</t>
        </is>
      </c>
      <c r="B3" s="28" t="n"/>
      <c r="C3" s="28" t="n"/>
      <c r="D3" s="28" t="n"/>
      <c r="E3" s="29" t="n"/>
    </row>
    <row r="4">
      <c r="A4" s="19" t="inlineStr">
        <is>
          <t>序号</t>
        </is>
      </c>
      <c r="B4" s="19" t="inlineStr">
        <is>
          <t>工作项</t>
        </is>
      </c>
      <c r="C4" s="19" t="inlineStr">
        <is>
          <t>人天</t>
        </is>
      </c>
      <c r="D4" s="19" t="inlineStr">
        <is>
          <t>单价（元）</t>
        </is>
      </c>
      <c r="E4" s="19" t="inlineStr">
        <is>
          <t>金额（元）</t>
        </is>
      </c>
    </row>
    <row r="5">
      <c r="A5" s="5" t="n">
        <v>1</v>
      </c>
      <c r="B5" s="6" t="inlineStr">
        <is>
          <t>业务口径与验收标准澄清</t>
        </is>
      </c>
      <c r="C5" s="5" t="n">
        <v>10</v>
      </c>
      <c r="D5" s="20" t="n">
        <v>2400</v>
      </c>
      <c r="E5" s="20">
        <f>C5*D5</f>
        <v/>
      </c>
    </row>
    <row r="6">
      <c r="A6" s="5" t="n">
        <v>2</v>
      </c>
      <c r="B6" s="6" t="inlineStr">
        <is>
          <t>只读数据接入与脱敏样本准备</t>
        </is>
      </c>
      <c r="C6" s="5" t="n">
        <v>12</v>
      </c>
      <c r="D6" s="20" t="n">
        <v>2400</v>
      </c>
      <c r="E6" s="20">
        <f>C6*D6</f>
        <v/>
      </c>
    </row>
    <row r="7">
      <c r="A7" s="5" t="n">
        <v>3</v>
      </c>
      <c r="B7" s="6" t="inlineStr">
        <is>
          <t>多模态抽取（5 字段 + 三源交叉）</t>
        </is>
      </c>
      <c r="C7" s="5" t="n">
        <v>18</v>
      </c>
      <c r="D7" s="20" t="n">
        <v>2400</v>
      </c>
      <c r="E7" s="20">
        <f>C7*D7</f>
        <v/>
      </c>
    </row>
    <row r="8">
      <c r="A8" s="5" t="n">
        <v>4</v>
      </c>
      <c r="B8" s="6" t="inlineStr">
        <is>
          <t>服务项语义映射与缺项清单</t>
        </is>
      </c>
      <c r="C8" s="5" t="n">
        <v>14</v>
      </c>
      <c r="D8" s="20" t="n">
        <v>2400</v>
      </c>
      <c r="E8" s="20">
        <f>C8*D8</f>
        <v/>
      </c>
    </row>
    <row r="9">
      <c r="A9" s="5" t="n">
        <v>5</v>
      </c>
      <c r="B9" s="6" t="inlineStr">
        <is>
          <t>机器预核对与差异复核台</t>
        </is>
      </c>
      <c r="C9" s="5" t="n">
        <v>16</v>
      </c>
      <c r="D9" s="20" t="n">
        <v>2400</v>
      </c>
      <c r="E9" s="20">
        <f>C9*D9</f>
        <v/>
      </c>
    </row>
    <row r="10">
      <c r="A10" s="5" t="n">
        <v>6</v>
      </c>
      <c r="B10" s="6" t="inlineStr">
        <is>
          <t>查重提示与版本链</t>
        </is>
      </c>
      <c r="C10" s="5" t="n">
        <v>12</v>
      </c>
      <c r="D10" s="20" t="n">
        <v>2400</v>
      </c>
      <c r="E10" s="20">
        <f>C10*D10</f>
        <v/>
      </c>
    </row>
    <row r="11">
      <c r="A11" s="5" t="n">
        <v>7</v>
      </c>
      <c r="B11" s="6" t="inlineStr">
        <is>
          <t>留痕与审计视图</t>
        </is>
      </c>
      <c r="C11" s="5" t="n">
        <v>8</v>
      </c>
      <c r="D11" s="20" t="n">
        <v>2400</v>
      </c>
      <c r="E11" s="20">
        <f>C11*D11</f>
        <v/>
      </c>
    </row>
    <row r="12">
      <c r="A12" s="5" t="n">
        <v>8</v>
      </c>
      <c r="B12" s="6" t="inlineStr">
        <is>
          <t>测试、验收、复盘</t>
        </is>
      </c>
      <c r="C12" s="5" t="n">
        <v>8</v>
      </c>
      <c r="D12" s="20" t="n">
        <v>2400</v>
      </c>
      <c r="E12" s="20">
        <f>C12*D12</f>
        <v/>
      </c>
    </row>
    <row r="13">
      <c r="A13" s="5" t="n">
        <v>9</v>
      </c>
      <c r="B13" s="6" t="inlineStr">
        <is>
          <t>项目管理</t>
        </is>
      </c>
      <c r="C13" s="5" t="n">
        <v>8</v>
      </c>
      <c r="D13" s="20" t="n">
        <v>2400</v>
      </c>
      <c r="E13" s="20">
        <f>C13*D13</f>
        <v/>
      </c>
    </row>
    <row r="14">
      <c r="A14" s="21" t="n"/>
      <c r="B14" s="22" t="inlineStr">
        <is>
          <t>小计</t>
        </is>
      </c>
      <c r="C14" s="23">
        <f>SUM(C5:C13)</f>
        <v/>
      </c>
      <c r="D14" s="24" t="inlineStr">
        <is>
          <t>—</t>
        </is>
      </c>
      <c r="E14" s="25">
        <f>SUM(E5:E13)</f>
        <v/>
      </c>
    </row>
    <row r="16" ht="24" customHeight="1">
      <c r="A16" s="18" t="inlineStr">
        <is>
          <t>阶段二 · 推广（8 周，126 人天）</t>
        </is>
      </c>
      <c r="B16" s="28" t="n"/>
      <c r="C16" s="28" t="n"/>
      <c r="D16" s="28" t="n"/>
      <c r="E16" s="29" t="n"/>
    </row>
    <row r="17">
      <c r="A17" s="19" t="inlineStr">
        <is>
          <t>序号</t>
        </is>
      </c>
      <c r="B17" s="19" t="inlineStr">
        <is>
          <t>工作项</t>
        </is>
      </c>
      <c r="C17" s="19" t="inlineStr">
        <is>
          <t>人天</t>
        </is>
      </c>
      <c r="D17" s="19" t="inlineStr">
        <is>
          <t>单价（元）</t>
        </is>
      </c>
      <c r="E17" s="19" t="inlineStr">
        <is>
          <t>金额（元）</t>
        </is>
      </c>
    </row>
    <row r="18">
      <c r="A18" s="5" t="n">
        <v>1</v>
      </c>
      <c r="B18" s="6" t="inlineStr">
        <is>
          <t>全批次与多主体接入</t>
        </is>
      </c>
      <c r="C18" s="5" t="n">
        <v>24</v>
      </c>
      <c r="D18" s="20" t="n">
        <v>2400</v>
      </c>
      <c r="E18" s="20">
        <f>C18*D18</f>
        <v/>
      </c>
    </row>
    <row r="19">
      <c r="A19" s="5" t="n">
        <v>2</v>
      </c>
      <c r="B19" s="6" t="inlineStr">
        <is>
          <t>抽取准确率调优与样本扩增</t>
        </is>
      </c>
      <c r="C19" s="5" t="n">
        <v>20</v>
      </c>
      <c r="D19" s="20" t="n">
        <v>2400</v>
      </c>
      <c r="E19" s="20">
        <f>C19*D19</f>
        <v/>
      </c>
    </row>
    <row r="20">
      <c r="A20" s="5" t="n">
        <v>3</v>
      </c>
      <c r="B20" s="6" t="inlineStr">
        <is>
          <t>客户口径确认与对外报告生成</t>
        </is>
      </c>
      <c r="C20" s="5" t="n">
        <v>16</v>
      </c>
      <c r="D20" s="20" t="n">
        <v>2400</v>
      </c>
      <c r="E20" s="20">
        <f>C20*D20</f>
        <v/>
      </c>
    </row>
    <row r="21">
      <c r="A21" s="5" t="n">
        <v>4</v>
      </c>
      <c r="B21" s="6" t="inlineStr">
        <is>
          <t>权限体系与跨企业授权</t>
        </is>
      </c>
      <c r="C21" s="5" t="n">
        <v>14</v>
      </c>
      <c r="D21" s="20" t="n">
        <v>2400</v>
      </c>
      <c r="E21" s="20">
        <f>C21*D21</f>
        <v/>
      </c>
    </row>
    <row r="22">
      <c r="A22" s="5" t="n">
        <v>5</v>
      </c>
      <c r="B22" s="6" t="inlineStr">
        <is>
          <t>只读对接扩展与调度</t>
        </is>
      </c>
      <c r="C22" s="5" t="n">
        <v>18</v>
      </c>
      <c r="D22" s="20" t="n">
        <v>2400</v>
      </c>
      <c r="E22" s="20">
        <f>C22*D22</f>
        <v/>
      </c>
    </row>
    <row r="23">
      <c r="A23" s="5" t="n">
        <v>6</v>
      </c>
      <c r="B23" s="6" t="inlineStr">
        <is>
          <t>培训与运营手册</t>
        </is>
      </c>
      <c r="C23" s="5" t="n">
        <v>10</v>
      </c>
      <c r="D23" s="20" t="n">
        <v>2400</v>
      </c>
      <c r="E23" s="20">
        <f>C23*D23</f>
        <v/>
      </c>
    </row>
    <row r="24">
      <c r="A24" s="5" t="n">
        <v>7</v>
      </c>
      <c r="B24" s="6" t="inlineStr">
        <is>
          <t>测试与验收</t>
        </is>
      </c>
      <c r="C24" s="5" t="n">
        <v>12</v>
      </c>
      <c r="D24" s="20" t="n">
        <v>2400</v>
      </c>
      <c r="E24" s="20">
        <f>C24*D24</f>
        <v/>
      </c>
    </row>
    <row r="25">
      <c r="A25" s="5" t="n">
        <v>8</v>
      </c>
      <c r="B25" s="6" t="inlineStr">
        <is>
          <t>项目管理</t>
        </is>
      </c>
      <c r="C25" s="5" t="n">
        <v>12</v>
      </c>
      <c r="D25" s="20" t="n">
        <v>2400</v>
      </c>
      <c r="E25" s="20">
        <f>C25*D25</f>
        <v/>
      </c>
    </row>
    <row r="26">
      <c r="A26" s="21" t="n"/>
      <c r="B26" s="22" t="inlineStr">
        <is>
          <t>小计</t>
        </is>
      </c>
      <c r="C26" s="23">
        <f>SUM(C18:C25)</f>
        <v/>
      </c>
      <c r="D26" s="24" t="inlineStr">
        <is>
          <t>—</t>
        </is>
      </c>
      <c r="E26" s="25">
        <f>SUM(E18:E25)</f>
        <v/>
      </c>
    </row>
    <row r="28" ht="24" customHeight="1">
      <c r="A28" s="18" t="inlineStr">
        <is>
          <t>阶段三 · 平台化（12 周，104 人天，可选）</t>
        </is>
      </c>
      <c r="B28" s="28" t="n"/>
      <c r="C28" s="28" t="n"/>
      <c r="D28" s="28" t="n"/>
      <c r="E28" s="29" t="n"/>
    </row>
    <row r="29">
      <c r="A29" s="19" t="inlineStr">
        <is>
          <t>序号</t>
        </is>
      </c>
      <c r="B29" s="19" t="inlineStr">
        <is>
          <t>工作项</t>
        </is>
      </c>
      <c r="C29" s="19" t="inlineStr">
        <is>
          <t>人天</t>
        </is>
      </c>
      <c r="D29" s="19" t="inlineStr">
        <is>
          <t>单价（元）</t>
        </is>
      </c>
      <c r="E29" s="19" t="inlineStr">
        <is>
          <t>金额（元）</t>
        </is>
      </c>
    </row>
    <row r="30">
      <c r="A30" s="5" t="n">
        <v>1</v>
      </c>
      <c r="B30" s="6" t="inlineStr">
        <is>
          <t>多组织与多批次编排</t>
        </is>
      </c>
      <c r="C30" s="5" t="n">
        <v>30</v>
      </c>
      <c r="D30" s="20" t="n">
        <v>2400</v>
      </c>
      <c r="E30" s="20">
        <f>C30*D30</f>
        <v/>
      </c>
    </row>
    <row r="31">
      <c r="A31" s="5" t="n">
        <v>2</v>
      </c>
      <c r="B31" s="6" t="inlineStr">
        <is>
          <t>模型运营与效果监控</t>
        </is>
      </c>
      <c r="C31" s="5" t="n">
        <v>24</v>
      </c>
      <c r="D31" s="20" t="n">
        <v>2400</v>
      </c>
      <c r="E31" s="20">
        <f>C31*D31</f>
        <v/>
      </c>
    </row>
    <row r="32">
      <c r="A32" s="5" t="n">
        <v>3</v>
      </c>
      <c r="B32" s="6" t="inlineStr">
        <is>
          <t>规则与模板配置台</t>
        </is>
      </c>
      <c r="C32" s="5" t="n">
        <v>20</v>
      </c>
      <c r="D32" s="20" t="n">
        <v>2400</v>
      </c>
      <c r="E32" s="20">
        <f>C32*D32</f>
        <v/>
      </c>
    </row>
    <row r="33">
      <c r="A33" s="5" t="n">
        <v>4</v>
      </c>
      <c r="B33" s="6" t="inlineStr">
        <is>
          <t>合规加固与审计导出</t>
        </is>
      </c>
      <c r="C33" s="5" t="n">
        <v>16</v>
      </c>
      <c r="D33" s="20" t="n">
        <v>2400</v>
      </c>
      <c r="E33" s="20">
        <f>C33*D33</f>
        <v/>
      </c>
    </row>
    <row r="34">
      <c r="A34" s="5" t="n">
        <v>5</v>
      </c>
      <c r="B34" s="6" t="inlineStr">
        <is>
          <t>项目管理</t>
        </is>
      </c>
      <c r="C34" s="5" t="n">
        <v>14</v>
      </c>
      <c r="D34" s="20" t="n">
        <v>2400</v>
      </c>
      <c r="E34" s="20">
        <f>C34*D34</f>
        <v/>
      </c>
    </row>
    <row r="35">
      <c r="A35" s="21" t="n"/>
      <c r="B35" s="22" t="inlineStr">
        <is>
          <t>小计</t>
        </is>
      </c>
      <c r="C35" s="23">
        <f>SUM(C30:C34)</f>
        <v/>
      </c>
      <c r="D35" s="24" t="inlineStr">
        <is>
          <t>—</t>
        </is>
      </c>
      <c r="E35" s="25">
        <f>SUM(E30:E34)</f>
        <v/>
      </c>
    </row>
  </sheetData>
  <mergeCells count="4">
    <mergeCell ref="A16:E16"/>
    <mergeCell ref="A1:E1"/>
    <mergeCell ref="A28:E2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6" customWidth="1" min="3" max="3"/>
    <col width="16" customWidth="1" min="4" max="4"/>
  </cols>
  <sheetData>
    <row r="1" ht="30" customHeight="1">
      <c r="A1" s="17" t="inlineStr">
        <is>
          <t>可选服务 · 商务条款 · 报价不含项</t>
        </is>
      </c>
    </row>
    <row r="3" ht="24" customHeight="1">
      <c r="B3" s="4" t="inlineStr">
        <is>
          <t>可选服务</t>
        </is>
      </c>
      <c r="C3" s="4" t="inlineStr">
        <is>
          <t>商务条款</t>
        </is>
      </c>
      <c r="D3" s="4" t="inlineStr">
        <is>
          <t>报价不含项</t>
        </is>
      </c>
    </row>
    <row r="4" ht="34" customHeight="1">
      <c r="B4" s="26" t="inlineStr">
        <is>
          <t>私有化部署（含 GPU 适配 / 模型私有化 / 两年授权）</t>
        </is>
      </c>
      <c r="C4" s="26" t="inlineStr">
        <is>
          <t>付款节点：签订 30% / 试点验收 30% / 推广上线 30% / 质保期满 10%</t>
        </is>
      </c>
      <c r="D4" s="26" t="inlineStr">
        <is>
          <t>硬件与基础设施：甲方侧服务器、GPU、带宽</t>
        </is>
      </c>
    </row>
    <row r="5" ht="34" customHeight="1">
      <c r="B5" s="26" t="inlineStr">
        <is>
          <t>等保二级测评支持（差距分析 / 整改建议 / 材料配合）</t>
        </is>
      </c>
      <c r="C5" s="26" t="inlineStr">
        <is>
          <t>工期：试点 4 周（样本与授权齐备起算）；推广 8 周</t>
        </is>
      </c>
      <c r="D5" s="26" t="inlineStr">
        <is>
          <t>第三方调用费：OCR / 大模型 API 按量据实结算（年用量预估 3 万元起）</t>
        </is>
      </c>
    </row>
    <row r="6" ht="34" customHeight="1">
      <c r="B6" s="26" t="inlineStr">
        <is>
          <t>驻场支持（含差旅）</t>
        </is>
      </c>
      <c r="C6" s="26" t="inlineStr">
        <is>
          <t>质保：验收后 3 个月，缺陷免费修复</t>
        </is>
      </c>
      <c r="D6" s="26" t="inlineStr">
        <is>
          <t>现有系统改造：本方案只读旁路，不含写回接口开发</t>
        </is>
      </c>
    </row>
    <row r="7" ht="34" customHeight="1">
      <c r="B7" s="26" t="inlineStr">
        <is>
          <t>额外培训（半天一场，含教材）</t>
        </is>
      </c>
      <c r="C7" s="26" t="inlineStr">
        <is>
          <t>知识产权：定制开发部分著作权归甲方；通用组件与模型能力归乙方</t>
        </is>
      </c>
      <c r="D7" s="26" t="inlineStr">
        <is>
          <t>税务与鉴证：真实税务处理、审计鉴证、法律意见</t>
        </is>
      </c>
    </row>
    <row r="8" ht="34" customHeight="1">
      <c r="C8" s="26" t="inlineStr">
        <is>
          <t>保密与数据：签保密协议；样本仅用于本项目；结束后删除虚构个人字段</t>
        </is>
      </c>
      <c r="D8" s="26" t="inlineStr">
        <is>
          <t>资金操作：付款执行及任何资金动作</t>
        </is>
      </c>
    </row>
    <row r="9" ht="34" customHeight="1">
      <c r="C9" s="26" t="inlineStr">
        <is>
          <t>报价有效期：60 日</t>
        </is>
      </c>
    </row>
    <row r="11" ht="40" customHeight="1">
      <c r="B11" s="27" t="inlineStr">
        <is>
          <t>注：以上报价基于方案第三章范围与第四章排期；范围变更按变更单另行计价。所有指标基线为访谈演练的合成样本，效率数字属试点目标值，需实测校准后方可作为商务承诺。</t>
        </is>
      </c>
    </row>
  </sheetData>
  <mergeCells count="2">
    <mergeCell ref="A1:D1"/>
    <mergeCell ref="B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2026-10-29T23:44:16Z</dcterms:created>
  <dcterms:modified xsi:type="dcterms:W3CDTF">2026-10-29T23:44:25Z</dcterms:modified>
</cp:coreProperties>
</file>